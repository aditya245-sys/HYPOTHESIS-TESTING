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f939000f05532/Documents/"/>
    </mc:Choice>
  </mc:AlternateContent>
  <xr:revisionPtr revIDLastSave="0" documentId="8_{0D2E6BCB-A231-4C4B-8248-DD577F4FDD4F}" xr6:coauthVersionLast="47" xr6:coauthVersionMax="47" xr10:uidLastSave="{00000000-0000-0000-0000-000000000000}"/>
  <bookViews>
    <workbookView xWindow="-108" yWindow="-108" windowWidth="23256" windowHeight="12456" xr2:uid="{4F2AC701-ABA4-4932-9C69-0B91C6328F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38" i="1"/>
  <c r="D27" i="1"/>
  <c r="E21" i="1"/>
  <c r="E20" i="1"/>
  <c r="E19" i="1"/>
  <c r="E18" i="1"/>
  <c r="E17" i="1"/>
  <c r="E16" i="1"/>
  <c r="D26" i="1" s="1"/>
  <c r="D28" i="1" s="1"/>
  <c r="B11" i="1"/>
  <c r="B10" i="1"/>
  <c r="B9" i="1"/>
  <c r="D24" i="1" l="1"/>
  <c r="D25" i="1"/>
</calcChain>
</file>

<file path=xl/sharedStrings.xml><?xml version="1.0" encoding="utf-8"?>
<sst xmlns="http://schemas.openxmlformats.org/spreadsheetml/2006/main" count="23" uniqueCount="23">
  <si>
    <t>Question 5: A company claims that the average time to resolve a customer complaint is 10 minutes. A random sample of 9 complaints gives an average time of 12 minutes and a standard deviation of 3 minutes. At α = 0.05, test the claim.</t>
  </si>
  <si>
    <t>mean = 12</t>
  </si>
  <si>
    <t>hypothesized mean = 10</t>
  </si>
  <si>
    <t>stdev = 3</t>
  </si>
  <si>
    <t>sample size = 9</t>
  </si>
  <si>
    <t xml:space="preserve"> α = 0.05</t>
  </si>
  <si>
    <t>Question 7: The productivity of 6 employees was measured before and after a training program.</t>
  </si>
  <si>
    <t>employee</t>
  </si>
  <si>
    <t>before</t>
  </si>
  <si>
    <t>after</t>
  </si>
  <si>
    <t>difference</t>
  </si>
  <si>
    <t>At α = 0.05, test if the training improved productivity.</t>
  </si>
  <si>
    <t>mean</t>
  </si>
  <si>
    <t>stdev.s</t>
  </si>
  <si>
    <t>Question 8: A company wants to test if product preference is independent of gender.</t>
  </si>
  <si>
    <t>Gender</t>
  </si>
  <si>
    <t>Product A</t>
  </si>
  <si>
    <t>Product B</t>
  </si>
  <si>
    <t>Total</t>
  </si>
  <si>
    <t>male</t>
  </si>
  <si>
    <t>female</t>
  </si>
  <si>
    <t>total</t>
  </si>
  <si>
    <t>At α = 0.05, test independence.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</si>
</sst>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086F8-2F37-455A-9350-F9E7FAF85144}">
  <dimension ref="A1:E39"/>
  <sheetViews>
    <sheetView tabSelected="1" workbookViewId="0">
      <selection activeCell="G17" sqref="G17"/>
    </sheetView>
  </sheetViews>
  <sheetFormatPr defaultRowHeight="23.4" x14ac:dyDescent="0.45"/>
  <cols>
    <col min="1" max="1" width="8.88671875" style="1"/>
    <col min="2" max="2" width="19.5546875" style="1" customWidth="1"/>
    <col min="3" max="3" width="15.6640625" style="1" customWidth="1"/>
    <col min="4" max="4" width="14" style="1" customWidth="1"/>
    <col min="5" max="16384" width="8.88671875" style="1"/>
  </cols>
  <sheetData>
    <row r="1" spans="1:5" x14ac:dyDescent="0.45">
      <c r="A1" s="1" t="s">
        <v>0</v>
      </c>
    </row>
    <row r="3" spans="1:5" x14ac:dyDescent="0.45">
      <c r="B3" s="1" t="s">
        <v>1</v>
      </c>
    </row>
    <row r="4" spans="1:5" x14ac:dyDescent="0.45">
      <c r="B4" s="1" t="s">
        <v>2</v>
      </c>
    </row>
    <row r="5" spans="1:5" x14ac:dyDescent="0.45">
      <c r="B5" s="1" t="s">
        <v>3</v>
      </c>
    </row>
    <row r="6" spans="1:5" x14ac:dyDescent="0.45">
      <c r="B6" s="1" t="s">
        <v>4</v>
      </c>
    </row>
    <row r="7" spans="1:5" x14ac:dyDescent="0.45">
      <c r="B7" s="1" t="s">
        <v>5</v>
      </c>
    </row>
    <row r="9" spans="1:5" x14ac:dyDescent="0.45">
      <c r="B9" s="1">
        <f>(12-10)/(3/SQRT(9))</f>
        <v>2</v>
      </c>
    </row>
    <row r="10" spans="1:5" x14ac:dyDescent="0.45">
      <c r="B10" s="1">
        <f>_xlfn.T.INV.2T(0.05,8)</f>
        <v>2.3060041352041671</v>
      </c>
    </row>
    <row r="11" spans="1:5" x14ac:dyDescent="0.45">
      <c r="B11" s="1" t="str">
        <f>IF(ABS((12-10)/(3/SQRT(9)))&gt;_xlfn.T.INV.2T(0.05,8),"Reject H0","Fail to Reject H0")</f>
        <v>Fail to Reject H0</v>
      </c>
    </row>
    <row r="13" spans="1:5" x14ac:dyDescent="0.45">
      <c r="A13" s="1" t="s">
        <v>6</v>
      </c>
    </row>
    <row r="15" spans="1:5" x14ac:dyDescent="0.45">
      <c r="B15" s="1" t="s">
        <v>7</v>
      </c>
      <c r="C15" s="1" t="s">
        <v>8</v>
      </c>
      <c r="D15" s="1" t="s">
        <v>9</v>
      </c>
      <c r="E15" s="1" t="s">
        <v>10</v>
      </c>
    </row>
    <row r="16" spans="1:5" x14ac:dyDescent="0.45">
      <c r="B16" s="1">
        <v>1</v>
      </c>
      <c r="C16" s="1">
        <v>50</v>
      </c>
      <c r="D16" s="1">
        <v>55</v>
      </c>
      <c r="E16" s="1">
        <f>C16-D16</f>
        <v>-5</v>
      </c>
    </row>
    <row r="17" spans="1:5" x14ac:dyDescent="0.45">
      <c r="B17" s="1">
        <v>2</v>
      </c>
      <c r="C17" s="1">
        <v>60</v>
      </c>
      <c r="D17" s="1">
        <v>65</v>
      </c>
      <c r="E17" s="1">
        <f t="shared" ref="E17:E21" si="0">C17-D17</f>
        <v>-5</v>
      </c>
    </row>
    <row r="18" spans="1:5" x14ac:dyDescent="0.45">
      <c r="B18" s="1">
        <v>3</v>
      </c>
      <c r="C18" s="1">
        <v>58</v>
      </c>
      <c r="D18" s="1">
        <v>59</v>
      </c>
      <c r="E18" s="1">
        <f t="shared" si="0"/>
        <v>-1</v>
      </c>
    </row>
    <row r="19" spans="1:5" x14ac:dyDescent="0.45">
      <c r="B19" s="1">
        <v>4</v>
      </c>
      <c r="C19" s="1">
        <v>55</v>
      </c>
      <c r="D19" s="1">
        <v>58</v>
      </c>
      <c r="E19" s="1">
        <f t="shared" si="0"/>
        <v>-3</v>
      </c>
    </row>
    <row r="20" spans="1:5" x14ac:dyDescent="0.45">
      <c r="B20" s="1">
        <v>5</v>
      </c>
      <c r="C20" s="1">
        <v>62</v>
      </c>
      <c r="D20" s="1">
        <v>63</v>
      </c>
      <c r="E20" s="1">
        <f t="shared" si="0"/>
        <v>-1</v>
      </c>
    </row>
    <row r="21" spans="1:5" x14ac:dyDescent="0.45">
      <c r="B21" s="1">
        <v>6</v>
      </c>
      <c r="C21" s="1">
        <v>56</v>
      </c>
      <c r="D21" s="1">
        <v>59</v>
      </c>
      <c r="E21" s="1">
        <f t="shared" si="0"/>
        <v>-3</v>
      </c>
    </row>
    <row r="22" spans="1:5" x14ac:dyDescent="0.45">
      <c r="B22" s="1" t="s">
        <v>11</v>
      </c>
    </row>
    <row r="24" spans="1:5" x14ac:dyDescent="0.45">
      <c r="C24" s="1" t="s">
        <v>12</v>
      </c>
      <c r="D24" s="1">
        <f>AVERAGE(E16:E21)</f>
        <v>-3</v>
      </c>
    </row>
    <row r="25" spans="1:5" x14ac:dyDescent="0.45">
      <c r="C25" s="1" t="s">
        <v>13</v>
      </c>
      <c r="D25" s="1">
        <f>_xlfn.STDEV.S(E16:E21)</f>
        <v>1.7888543819998317</v>
      </c>
    </row>
    <row r="26" spans="1:5" x14ac:dyDescent="0.45">
      <c r="D26" s="1">
        <f>AVERAGE(E16:E21)/(_xlfn.STDEV.S(E16:E21)/SQRT(COUNT(E16:E21)))</f>
        <v>-4.1079191812887457</v>
      </c>
    </row>
    <row r="27" spans="1:5" x14ac:dyDescent="0.45">
      <c r="D27" s="1">
        <f>_xlfn.T.INV(0.95,5)</f>
        <v>2.0150483733330233</v>
      </c>
    </row>
    <row r="28" spans="1:5" x14ac:dyDescent="0.45">
      <c r="D28" s="1" t="str">
        <f>IF(D26&gt;D27,"Reject H0","Fail to Reject H0")</f>
        <v>Fail to Reject H0</v>
      </c>
    </row>
    <row r="31" spans="1:5" x14ac:dyDescent="0.45">
      <c r="A31" s="1" t="s">
        <v>14</v>
      </c>
    </row>
    <row r="32" spans="1:5" x14ac:dyDescent="0.45">
      <c r="B32" s="1" t="s">
        <v>15</v>
      </c>
      <c r="C32" s="1" t="s">
        <v>16</v>
      </c>
      <c r="D32" s="1" t="s">
        <v>17</v>
      </c>
      <c r="E32" s="1" t="s">
        <v>18</v>
      </c>
    </row>
    <row r="33" spans="2:5" x14ac:dyDescent="0.45">
      <c r="B33" s="1" t="s">
        <v>19</v>
      </c>
      <c r="C33" s="1">
        <v>30</v>
      </c>
      <c r="D33" s="1">
        <v>20</v>
      </c>
      <c r="E33" s="1">
        <v>50</v>
      </c>
    </row>
    <row r="34" spans="2:5" x14ac:dyDescent="0.45">
      <c r="B34" s="1" t="s">
        <v>20</v>
      </c>
      <c r="C34" s="1">
        <v>40</v>
      </c>
      <c r="D34" s="1">
        <v>40</v>
      </c>
      <c r="E34" s="1">
        <v>50</v>
      </c>
    </row>
    <row r="35" spans="2:5" x14ac:dyDescent="0.45">
      <c r="B35" s="1" t="s">
        <v>21</v>
      </c>
      <c r="C35" s="1">
        <v>10</v>
      </c>
      <c r="D35" s="1">
        <v>60</v>
      </c>
      <c r="E35" s="1">
        <v>100</v>
      </c>
    </row>
    <row r="36" spans="2:5" x14ac:dyDescent="0.45">
      <c r="B36" s="1" t="s">
        <v>22</v>
      </c>
    </row>
    <row r="38" spans="2:5" x14ac:dyDescent="0.45">
      <c r="B38" s="1">
        <f>_xlfn.CHISQ.TEST(C33:C35,D33:D35)</f>
        <v>7.3529580614538385E-11</v>
      </c>
    </row>
    <row r="39" spans="2:5" x14ac:dyDescent="0.45">
      <c r="B39" s="1" t="str">
        <f>IF(B38&lt;0.05,"Reject H0","Fail to Reject H0")</f>
        <v>Reject H0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Shreeya ojha</dc:creator>
  <cp:lastModifiedBy>Shreeya ojha</cp:lastModifiedBy>
  <dcterms:created xsi:type="dcterms:W3CDTF">2026-01-20T14:21:34Z</dcterms:created>
  <dcterms:modified xsi:type="dcterms:W3CDTF">2026-01-20T14:22:34Z</dcterms:modified>
</cp:coreProperties>
</file>